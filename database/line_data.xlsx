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ult-locator-app\database\"/>
    </mc:Choice>
  </mc:AlternateContent>
  <xr:revisionPtr revIDLastSave="0" documentId="13_ncr:1_{54E7906C-2527-4407-9808-A3F4DCDE0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_impedance" sheetId="4" r:id="rId1"/>
  </sheets>
  <definedNames>
    <definedName name="G.TUA">line_impedance!#REF!</definedName>
    <definedName name="GI">line_impedance!#REF!</definedName>
    <definedName name="MARTABE">line_impedance!#REF!</definedName>
    <definedName name="NEW.P.SIDEMPUAN">line_impedance!#REF!</definedName>
    <definedName name="P.SIDEMPUAN">line_impedance!#REF!</definedName>
    <definedName name="R.PRAPAT">line_impedance!#REF!</definedName>
    <definedName name="SARULLA">line_impedance!#REF!</definedName>
    <definedName name="SIBOLGA">line_impedance!#REF!</definedName>
    <definedName name="SIPAN">line_impedance!#REF!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J22" i="4"/>
  <c r="M24" i="4"/>
  <c r="O24" i="4" s="1"/>
  <c r="H24" i="4"/>
  <c r="J24" i="4" s="1"/>
  <c r="M23" i="4"/>
  <c r="O23" i="4" s="1"/>
  <c r="H23" i="4"/>
  <c r="J23" i="4" s="1"/>
  <c r="M22" i="4"/>
  <c r="O22" i="4" s="1"/>
  <c r="H22" i="4"/>
  <c r="I22" i="4" s="1"/>
  <c r="M21" i="4"/>
  <c r="N21" i="4" s="1"/>
  <c r="H21" i="4"/>
  <c r="J21" i="4" s="1"/>
  <c r="M20" i="4"/>
  <c r="O20" i="4" s="1"/>
  <c r="H20" i="4"/>
  <c r="J20" i="4" s="1"/>
  <c r="M19" i="4"/>
  <c r="O19" i="4" s="1"/>
  <c r="H19" i="4"/>
  <c r="I19" i="4" s="1"/>
  <c r="M18" i="4"/>
  <c r="O18" i="4" s="1"/>
  <c r="H18" i="4"/>
  <c r="I18" i="4" s="1"/>
  <c r="M17" i="4"/>
  <c r="N17" i="4" s="1"/>
  <c r="H17" i="4"/>
  <c r="I17" i="4" s="1"/>
  <c r="M16" i="4"/>
  <c r="O16" i="4" s="1"/>
  <c r="H16" i="4"/>
  <c r="J16" i="4" s="1"/>
  <c r="M15" i="4"/>
  <c r="O15" i="4" s="1"/>
  <c r="H15" i="4"/>
  <c r="J15" i="4" s="1"/>
  <c r="M14" i="4"/>
  <c r="O14" i="4" s="1"/>
  <c r="H14" i="4"/>
  <c r="I14" i="4" s="1"/>
  <c r="M13" i="4"/>
  <c r="N13" i="4" s="1"/>
  <c r="H13" i="4"/>
  <c r="J13" i="4" s="1"/>
  <c r="M12" i="4"/>
  <c r="O12" i="4" s="1"/>
  <c r="H12" i="4"/>
  <c r="J12" i="4" s="1"/>
  <c r="M11" i="4"/>
  <c r="N11" i="4" s="1"/>
  <c r="H11" i="4"/>
  <c r="J11" i="4" s="1"/>
  <c r="M10" i="4"/>
  <c r="O10" i="4" s="1"/>
  <c r="H10" i="4"/>
  <c r="I10" i="4" s="1"/>
  <c r="M9" i="4"/>
  <c r="N9" i="4" s="1"/>
  <c r="H9" i="4"/>
  <c r="J9" i="4" s="1"/>
  <c r="M8" i="4"/>
  <c r="O8" i="4" s="1"/>
  <c r="H8" i="4"/>
  <c r="J8" i="4" s="1"/>
  <c r="M7" i="4"/>
  <c r="N7" i="4" s="1"/>
  <c r="H7" i="4"/>
  <c r="I7" i="4" s="1"/>
  <c r="M6" i="4"/>
  <c r="O6" i="4" s="1"/>
  <c r="H6" i="4"/>
  <c r="I6" i="4" s="1"/>
  <c r="M5" i="4"/>
  <c r="N5" i="4" s="1"/>
  <c r="H5" i="4"/>
  <c r="I5" i="4" s="1"/>
  <c r="M4" i="4"/>
  <c r="O4" i="4" s="1"/>
  <c r="H4" i="4"/>
  <c r="J4" i="4" s="1"/>
  <c r="M3" i="4"/>
  <c r="O3" i="4" s="1"/>
  <c r="H3" i="4"/>
  <c r="I3" i="4" s="1"/>
  <c r="J3" i="4" l="1"/>
  <c r="J10" i="4"/>
  <c r="J19" i="4"/>
  <c r="J18" i="4"/>
  <c r="J6" i="4"/>
  <c r="J17" i="4"/>
  <c r="J5" i="4"/>
  <c r="J7" i="4"/>
  <c r="I9" i="4"/>
  <c r="O5" i="4"/>
  <c r="I21" i="4"/>
  <c r="N16" i="4"/>
  <c r="N18" i="4"/>
  <c r="N8" i="4"/>
  <c r="I23" i="4"/>
  <c r="O7" i="4"/>
  <c r="N23" i="4"/>
  <c r="N10" i="4"/>
  <c r="I11" i="4"/>
  <c r="N15" i="4"/>
  <c r="O11" i="4"/>
  <c r="O21" i="4"/>
  <c r="O13" i="4"/>
  <c r="N3" i="4"/>
  <c r="N4" i="4"/>
  <c r="N6" i="4"/>
  <c r="I13" i="4"/>
  <c r="I15" i="4"/>
  <c r="O17" i="4"/>
  <c r="N19" i="4"/>
  <c r="N20" i="4"/>
  <c r="N22" i="4"/>
  <c r="O9" i="4"/>
  <c r="N12" i="4"/>
  <c r="N14" i="4"/>
  <c r="N24" i="4"/>
  <c r="I4" i="4"/>
  <c r="I8" i="4"/>
  <c r="I12" i="4"/>
  <c r="I16" i="4"/>
  <c r="I20" i="4"/>
  <c r="I24" i="4"/>
</calcChain>
</file>

<file path=xl/sharedStrings.xml><?xml version="1.0" encoding="utf-8"?>
<sst xmlns="http://schemas.openxmlformats.org/spreadsheetml/2006/main" count="219" uniqueCount="69">
  <si>
    <t>GNTUA-PSDEM</t>
  </si>
  <si>
    <t>GI</t>
  </si>
  <si>
    <t>BAY
PHT</t>
  </si>
  <si>
    <t>JENIS
KONDUKTOR</t>
  </si>
  <si>
    <t>GI A</t>
  </si>
  <si>
    <t>GI B</t>
  </si>
  <si>
    <t>SIBOLGA</t>
  </si>
  <si>
    <t>MARTABE</t>
  </si>
  <si>
    <t>SARULLA</t>
  </si>
  <si>
    <t>SIPAN-SBOGA #1</t>
  </si>
  <si>
    <t>SBOGA-MRTBE #1</t>
  </si>
  <si>
    <t>MRTBE-PSDEM #1</t>
  </si>
  <si>
    <t>PSDEM-NPSDM #1</t>
  </si>
  <si>
    <t>RTPAT-PSDEM</t>
  </si>
  <si>
    <t>NPSDM-PYBGN #1</t>
  </si>
  <si>
    <t>SRLLA-NPSDM #1</t>
  </si>
  <si>
    <t>ACSR 1x240 mm2</t>
  </si>
  <si>
    <t>300/1</t>
  </si>
  <si>
    <t>150000/110</t>
  </si>
  <si>
    <t>SIPAN-SBOGA #2</t>
  </si>
  <si>
    <t>MRTBE-PSDEM #2</t>
  </si>
  <si>
    <t>PSDEM-NPSDM #2</t>
  </si>
  <si>
    <t>RTPAT-GNTUA</t>
  </si>
  <si>
    <t>GNTUA-SBHAN #1</t>
  </si>
  <si>
    <t>NPSDM-PYBGN #2</t>
  </si>
  <si>
    <t>SRLLA-NPSDM #2</t>
  </si>
  <si>
    <t>INTERLINE #1 - 2</t>
  </si>
  <si>
    <t>SBOGA-LABGN #1</t>
  </si>
  <si>
    <t>GNTUA-SBHAN #2</t>
  </si>
  <si>
    <t>NPSDM-PYKBH #1</t>
  </si>
  <si>
    <t>SIPAN #1</t>
  </si>
  <si>
    <t>SIPAN #2</t>
  </si>
  <si>
    <t>SBOGA-LABGN #2</t>
  </si>
  <si>
    <t>NPSDM-PYKBH #2</t>
  </si>
  <si>
    <t>1200/1</t>
  </si>
  <si>
    <t>150000/100</t>
  </si>
  <si>
    <t>800/1</t>
  </si>
  <si>
    <t>ACSR 2x240 mm2</t>
  </si>
  <si>
    <t>1600/1</t>
  </si>
  <si>
    <t>L. ANGIN</t>
  </si>
  <si>
    <t>P. SIDEMPUAN</t>
  </si>
  <si>
    <t>ACSR 2x330 mm2</t>
  </si>
  <si>
    <t>2000/1</t>
  </si>
  <si>
    <t>NEW P. SIDEMPUAN</t>
  </si>
  <si>
    <t>ACCC 1x310 mm2</t>
  </si>
  <si>
    <t>R. PRAPAT</t>
  </si>
  <si>
    <t>HVCRC 1x310 mm2</t>
  </si>
  <si>
    <t>G. TUA</t>
  </si>
  <si>
    <t>SIBUHUAN</t>
  </si>
  <si>
    <t>PANYABUNGAN</t>
  </si>
  <si>
    <t>ACSR 2x435 mm2 (T-275kV)</t>
  </si>
  <si>
    <t>275000/100</t>
  </si>
  <si>
    <t>PAYAKUMBUH</t>
  </si>
  <si>
    <t>PANJANG KONDUKTOR (km)</t>
  </si>
  <si>
    <t>JLH SIRKIT</t>
  </si>
  <si>
    <t>Z1 REAL</t>
  </si>
  <si>
    <t>Z1 IMG</t>
  </si>
  <si>
    <t>Z1 ABS</t>
  </si>
  <si>
    <t>Z1 ANGLE</t>
  </si>
  <si>
    <t>Impedansi Z1</t>
  </si>
  <si>
    <t>Z0 REAL</t>
  </si>
  <si>
    <t>Z0 IMG</t>
  </si>
  <si>
    <t>Impedansi Z0</t>
  </si>
  <si>
    <t>Z0 ABS</t>
  </si>
  <si>
    <t>Z0 ANGLE</t>
  </si>
  <si>
    <t>RATIO GI A - CT</t>
  </si>
  <si>
    <t>RATIO GI A - VT</t>
  </si>
  <si>
    <t>RATIO GI B - CT</t>
  </si>
  <si>
    <t>RATIO GI B -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</si>
</sst>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zoomScale="77" workbookViewId="0">
      <selection activeCell="E31" sqref="E31"/>
    </sheetView>
  </sheetViews>
  <sheetFormatPr defaultColWidth="9.140625" defaultRowHeight="15"/>
  <cols>
    <col min="1" max="2" width="18" style="1" customWidth="1"/>
    <col min="3" max="3" width="17.140625" style="1" customWidth="1"/>
    <col min="4" max="4" width="25.140625" style="1" bestFit="1" customWidth="1"/>
    <col min="5" max="7" width="11.140625" style="1" customWidth="1"/>
    <col min="8" max="8" width="19.7109375" style="1" customWidth="1"/>
    <col min="9" max="10" width="12" style="1" customWidth="1"/>
    <col min="11" max="12" width="11.140625" style="1" customWidth="1"/>
    <col min="13" max="13" width="19.7109375" style="1" customWidth="1"/>
    <col min="14" max="15" width="12" style="1" customWidth="1"/>
    <col min="16" max="19" width="17.42578125" style="1" customWidth="1"/>
    <col min="20" max="21" width="18.85546875" style="1" customWidth="1"/>
    <col min="22" max="16384" width="9.140625" style="1"/>
  </cols>
  <sheetData>
    <row r="1" spans="1:21" ht="19.5" customHeight="1"/>
    <row r="2" spans="1:21" ht="15" customHeight="1">
      <c r="A2" s="8" t="s">
        <v>1</v>
      </c>
      <c r="B2" s="10" t="s">
        <v>2</v>
      </c>
      <c r="C2" s="10" t="s">
        <v>53</v>
      </c>
      <c r="D2" s="11" t="s">
        <v>3</v>
      </c>
      <c r="E2" s="12" t="s">
        <v>54</v>
      </c>
      <c r="F2" s="13" t="s">
        <v>55</v>
      </c>
      <c r="G2" s="13" t="s">
        <v>56</v>
      </c>
      <c r="H2" s="13" t="s">
        <v>59</v>
      </c>
      <c r="I2" s="13" t="s">
        <v>57</v>
      </c>
      <c r="J2" s="13" t="s">
        <v>58</v>
      </c>
      <c r="K2" s="13" t="s">
        <v>60</v>
      </c>
      <c r="L2" s="13" t="s">
        <v>61</v>
      </c>
      <c r="M2" s="13" t="s">
        <v>62</v>
      </c>
      <c r="N2" s="13" t="s">
        <v>63</v>
      </c>
      <c r="O2" s="13" t="s">
        <v>64</v>
      </c>
      <c r="P2" s="9" t="s">
        <v>65</v>
      </c>
      <c r="Q2" s="9" t="s">
        <v>66</v>
      </c>
      <c r="R2" s="9" t="s">
        <v>67</v>
      </c>
      <c r="S2" s="9" t="s">
        <v>68</v>
      </c>
      <c r="T2" s="9" t="s">
        <v>4</v>
      </c>
      <c r="U2" s="9" t="s">
        <v>5</v>
      </c>
    </row>
    <row r="3" spans="1:21">
      <c r="A3" s="7" t="s">
        <v>30</v>
      </c>
      <c r="B3" s="7" t="s">
        <v>9</v>
      </c>
      <c r="C3" s="7">
        <v>7.94</v>
      </c>
      <c r="D3" s="2" t="s">
        <v>16</v>
      </c>
      <c r="E3" s="2">
        <v>2</v>
      </c>
      <c r="F3" s="3">
        <v>0.128</v>
      </c>
      <c r="G3" s="3">
        <v>0.42399999999999999</v>
      </c>
      <c r="H3" s="4" t="str">
        <f>COMPLEX(F3,G3)</f>
        <v>0,128+0,424i</v>
      </c>
      <c r="I3" s="2">
        <f>IMABS(H3)</f>
        <v>0.44289953714132513</v>
      </c>
      <c r="J3" s="2">
        <f>DEGREES(IMARGUMENT(H3))</f>
        <v>73.201628218694708</v>
      </c>
      <c r="K3" s="5">
        <v>0.52181</v>
      </c>
      <c r="L3" s="5">
        <v>1.61558</v>
      </c>
      <c r="M3" s="6" t="str">
        <f>COMPLEX(K3,L3)</f>
        <v>0,52181+1,61558i</v>
      </c>
      <c r="N3" s="6">
        <f>IMABS(M3)</f>
        <v>1.697758643771252</v>
      </c>
      <c r="O3" s="6">
        <f>IMARGUMENT(M3)</f>
        <v>1.2583869429820267</v>
      </c>
      <c r="P3" s="7" t="s">
        <v>17</v>
      </c>
      <c r="Q3" s="7" t="s">
        <v>18</v>
      </c>
      <c r="R3" s="7" t="s">
        <v>17</v>
      </c>
      <c r="S3" s="7" t="s">
        <v>18</v>
      </c>
      <c r="T3" s="7" t="s">
        <v>30</v>
      </c>
      <c r="U3" s="7" t="s">
        <v>6</v>
      </c>
    </row>
    <row r="4" spans="1:21">
      <c r="A4" s="7" t="s">
        <v>31</v>
      </c>
      <c r="B4" s="7" t="s">
        <v>19</v>
      </c>
      <c r="C4" s="7">
        <v>6.05</v>
      </c>
      <c r="D4" s="2" t="s">
        <v>16</v>
      </c>
      <c r="E4" s="2">
        <v>2</v>
      </c>
      <c r="F4" s="3">
        <v>0.128</v>
      </c>
      <c r="G4" s="3">
        <v>0.42399999999999999</v>
      </c>
      <c r="H4" s="4" t="str">
        <f t="shared" ref="H4" si="0">COMPLEX(F4,G4)</f>
        <v>0,128+0,424i</v>
      </c>
      <c r="I4" s="2">
        <f t="shared" ref="I4" si="1">IMABS(H4)</f>
        <v>0.44289953714132513</v>
      </c>
      <c r="J4" s="2">
        <f t="shared" ref="J4:J24" si="2">DEGREES(IMARGUMENT(H4))</f>
        <v>73.201628218694708</v>
      </c>
      <c r="K4" s="5">
        <v>0.52181</v>
      </c>
      <c r="L4" s="5">
        <v>1.61558</v>
      </c>
      <c r="M4" s="6" t="str">
        <f t="shared" ref="M4:M24" si="3">COMPLEX(K4,L4)</f>
        <v>0,52181+1,61558i</v>
      </c>
      <c r="N4" s="6">
        <f t="shared" ref="N4:N24" si="4">IMABS(M4)</f>
        <v>1.697758643771252</v>
      </c>
      <c r="O4" s="6">
        <f t="shared" ref="O4:O24" si="5">IMARGUMENT(M4)</f>
        <v>1.2583869429820267</v>
      </c>
      <c r="P4" s="7" t="s">
        <v>17</v>
      </c>
      <c r="Q4" s="7" t="s">
        <v>18</v>
      </c>
      <c r="R4" s="7" t="s">
        <v>17</v>
      </c>
      <c r="S4" s="7" t="s">
        <v>18</v>
      </c>
      <c r="T4" s="7" t="s">
        <v>31</v>
      </c>
      <c r="U4" s="7" t="s">
        <v>6</v>
      </c>
    </row>
    <row r="5" spans="1:21">
      <c r="A5" s="7" t="s">
        <v>30</v>
      </c>
      <c r="B5" s="7" t="s">
        <v>26</v>
      </c>
      <c r="C5" s="7">
        <v>3.48</v>
      </c>
      <c r="D5" s="2" t="s">
        <v>16</v>
      </c>
      <c r="E5" s="2">
        <v>2</v>
      </c>
      <c r="F5" s="3">
        <v>0.128</v>
      </c>
      <c r="G5" s="3">
        <v>0.42399999999999999</v>
      </c>
      <c r="H5" s="4" t="str">
        <f t="shared" ref="H5:H10" si="6">COMPLEX(F5,G5)</f>
        <v>0,128+0,424i</v>
      </c>
      <c r="I5" s="2">
        <f t="shared" ref="I5:I10" si="7">IMABS(H5)</f>
        <v>0.44289953714132513</v>
      </c>
      <c r="J5" s="2">
        <f t="shared" si="2"/>
        <v>73.201628218694708</v>
      </c>
      <c r="K5" s="5">
        <v>0.52181</v>
      </c>
      <c r="L5" s="5">
        <v>1.61558</v>
      </c>
      <c r="M5" s="6" t="str">
        <f t="shared" si="3"/>
        <v>0,52181+1,61558i</v>
      </c>
      <c r="N5" s="6">
        <f t="shared" si="4"/>
        <v>1.697758643771252</v>
      </c>
      <c r="O5" s="6">
        <f t="shared" si="5"/>
        <v>1.2583869429820267</v>
      </c>
      <c r="P5" s="7" t="s">
        <v>17</v>
      </c>
      <c r="Q5" s="7" t="s">
        <v>18</v>
      </c>
      <c r="R5" s="7" t="s">
        <v>17</v>
      </c>
      <c r="S5" s="7" t="s">
        <v>18</v>
      </c>
      <c r="T5" s="7" t="s">
        <v>30</v>
      </c>
      <c r="U5" s="7" t="s">
        <v>31</v>
      </c>
    </row>
    <row r="6" spans="1:21">
      <c r="A6" s="7" t="s">
        <v>6</v>
      </c>
      <c r="B6" s="7" t="s">
        <v>10</v>
      </c>
      <c r="C6" s="7">
        <v>35.200000000000003</v>
      </c>
      <c r="D6" s="2" t="s">
        <v>16</v>
      </c>
      <c r="E6" s="2">
        <v>2</v>
      </c>
      <c r="F6" s="3">
        <v>0.128</v>
      </c>
      <c r="G6" s="3">
        <v>0.42399999999999999</v>
      </c>
      <c r="H6" s="4" t="str">
        <f t="shared" si="6"/>
        <v>0,128+0,424i</v>
      </c>
      <c r="I6" s="2">
        <f t="shared" si="7"/>
        <v>0.44289953714132513</v>
      </c>
      <c r="J6" s="2">
        <f t="shared" si="2"/>
        <v>73.201628218694708</v>
      </c>
      <c r="K6" s="5">
        <v>0.52181</v>
      </c>
      <c r="L6" s="5">
        <v>1.61558</v>
      </c>
      <c r="M6" s="6" t="str">
        <f t="shared" si="3"/>
        <v>0,52181+1,61558i</v>
      </c>
      <c r="N6" s="6">
        <f t="shared" si="4"/>
        <v>1.697758643771252</v>
      </c>
      <c r="O6" s="6">
        <f t="shared" si="5"/>
        <v>1.2583869429820267</v>
      </c>
      <c r="P6" s="7" t="s">
        <v>34</v>
      </c>
      <c r="Q6" s="7" t="s">
        <v>35</v>
      </c>
      <c r="R6" s="7" t="s">
        <v>36</v>
      </c>
      <c r="S6" s="7" t="s">
        <v>35</v>
      </c>
      <c r="T6" s="7" t="s">
        <v>6</v>
      </c>
      <c r="U6" s="7" t="s">
        <v>7</v>
      </c>
    </row>
    <row r="7" spans="1:21">
      <c r="A7" s="7" t="s">
        <v>6</v>
      </c>
      <c r="B7" s="7" t="s">
        <v>10</v>
      </c>
      <c r="C7" s="7">
        <v>35.200000000000003</v>
      </c>
      <c r="D7" s="2" t="s">
        <v>16</v>
      </c>
      <c r="E7" s="2">
        <v>2</v>
      </c>
      <c r="F7" s="3">
        <v>0.128</v>
      </c>
      <c r="G7" s="3">
        <v>0.42399999999999999</v>
      </c>
      <c r="H7" s="4" t="str">
        <f t="shared" ref="H7:H8" si="8">COMPLEX(F7,G7)</f>
        <v>0,128+0,424i</v>
      </c>
      <c r="I7" s="2">
        <f t="shared" ref="I7:I8" si="9">IMABS(H7)</f>
        <v>0.44289953714132513</v>
      </c>
      <c r="J7" s="2">
        <f t="shared" si="2"/>
        <v>73.201628218694708</v>
      </c>
      <c r="K7" s="5">
        <v>0.52181</v>
      </c>
      <c r="L7" s="5">
        <v>1.61558</v>
      </c>
      <c r="M7" s="6" t="str">
        <f t="shared" ref="M7:M8" si="10">COMPLEX(K7,L7)</f>
        <v>0,52181+1,61558i</v>
      </c>
      <c r="N7" s="6">
        <f t="shared" si="4"/>
        <v>1.697758643771252</v>
      </c>
      <c r="O7" s="6">
        <f t="shared" ref="O7:O8" si="11">IMARGUMENT(M7)</f>
        <v>1.2583869429820267</v>
      </c>
      <c r="P7" s="7" t="s">
        <v>36</v>
      </c>
      <c r="Q7" s="7" t="s">
        <v>35</v>
      </c>
      <c r="R7" s="7" t="s">
        <v>36</v>
      </c>
      <c r="S7" s="7" t="s">
        <v>35</v>
      </c>
      <c r="T7" s="7" t="s">
        <v>6</v>
      </c>
      <c r="U7" s="7" t="s">
        <v>7</v>
      </c>
    </row>
    <row r="8" spans="1:21">
      <c r="A8" s="7" t="s">
        <v>6</v>
      </c>
      <c r="B8" s="7" t="s">
        <v>27</v>
      </c>
      <c r="C8" s="7">
        <v>28.79</v>
      </c>
      <c r="D8" s="2" t="s">
        <v>37</v>
      </c>
      <c r="E8" s="2">
        <v>2</v>
      </c>
      <c r="F8" s="3">
        <v>6.4000000000000001E-2</v>
      </c>
      <c r="G8" s="3">
        <v>0.23400000000000001</v>
      </c>
      <c r="H8" s="4" t="str">
        <f t="shared" si="8"/>
        <v>0,064+0,234i</v>
      </c>
      <c r="I8" s="2">
        <f t="shared" si="9"/>
        <v>0.24259431155738176</v>
      </c>
      <c r="J8" s="2">
        <f t="shared" si="2"/>
        <v>74.703452685569928</v>
      </c>
      <c r="K8" s="5">
        <v>0.45776</v>
      </c>
      <c r="L8" s="5">
        <v>1.42489</v>
      </c>
      <c r="M8" s="6" t="str">
        <f t="shared" si="10"/>
        <v>0,45776+1,42489i</v>
      </c>
      <c r="N8" s="6">
        <f t="shared" si="4"/>
        <v>1.4966147566090613</v>
      </c>
      <c r="O8" s="6">
        <f t="shared" si="11"/>
        <v>1.2599509424940258</v>
      </c>
      <c r="P8" s="7" t="s">
        <v>38</v>
      </c>
      <c r="Q8" s="7" t="s">
        <v>35</v>
      </c>
      <c r="R8" s="7" t="s">
        <v>38</v>
      </c>
      <c r="S8" s="7" t="s">
        <v>35</v>
      </c>
      <c r="T8" s="7" t="s">
        <v>6</v>
      </c>
      <c r="U8" s="7" t="s">
        <v>39</v>
      </c>
    </row>
    <row r="9" spans="1:21">
      <c r="A9" s="7" t="s">
        <v>6</v>
      </c>
      <c r="B9" s="7" t="s">
        <v>32</v>
      </c>
      <c r="C9" s="7">
        <v>28.79</v>
      </c>
      <c r="D9" s="2" t="s">
        <v>37</v>
      </c>
      <c r="E9" s="2">
        <v>2</v>
      </c>
      <c r="F9" s="3">
        <v>6.4000000000000001E-2</v>
      </c>
      <c r="G9" s="3">
        <v>0.23400000000000001</v>
      </c>
      <c r="H9" s="4" t="str">
        <f t="shared" si="6"/>
        <v>0,064+0,234i</v>
      </c>
      <c r="I9" s="2">
        <f t="shared" si="7"/>
        <v>0.24259431155738176</v>
      </c>
      <c r="J9" s="2">
        <f t="shared" si="2"/>
        <v>74.703452685569928</v>
      </c>
      <c r="K9" s="5">
        <v>0.45776</v>
      </c>
      <c r="L9" s="5">
        <v>1.42489</v>
      </c>
      <c r="M9" s="6" t="str">
        <f t="shared" si="3"/>
        <v>0,45776+1,42489i</v>
      </c>
      <c r="N9" s="6">
        <f t="shared" si="4"/>
        <v>1.4966147566090613</v>
      </c>
      <c r="O9" s="6">
        <f t="shared" si="5"/>
        <v>1.2599509424940258</v>
      </c>
      <c r="P9" s="7" t="s">
        <v>38</v>
      </c>
      <c r="Q9" s="7" t="s">
        <v>35</v>
      </c>
      <c r="R9" s="7" t="s">
        <v>38</v>
      </c>
      <c r="S9" s="7" t="s">
        <v>35</v>
      </c>
      <c r="T9" s="7" t="s">
        <v>6</v>
      </c>
      <c r="U9" s="7" t="s">
        <v>39</v>
      </c>
    </row>
    <row r="10" spans="1:21">
      <c r="A10" s="7" t="s">
        <v>7</v>
      </c>
      <c r="B10" s="7" t="s">
        <v>11</v>
      </c>
      <c r="C10" s="7">
        <v>35.229999999999997</v>
      </c>
      <c r="D10" s="2" t="s">
        <v>16</v>
      </c>
      <c r="E10" s="2">
        <v>2</v>
      </c>
      <c r="F10" s="3">
        <v>0.128</v>
      </c>
      <c r="G10" s="3">
        <v>0.42399999999999999</v>
      </c>
      <c r="H10" s="4" t="str">
        <f t="shared" si="6"/>
        <v>0,128+0,424i</v>
      </c>
      <c r="I10" s="2">
        <f t="shared" si="7"/>
        <v>0.44289953714132513</v>
      </c>
      <c r="J10" s="2">
        <f t="shared" si="2"/>
        <v>73.201628218694708</v>
      </c>
      <c r="K10" s="5">
        <v>0.52181</v>
      </c>
      <c r="L10" s="5">
        <v>1.61558</v>
      </c>
      <c r="M10" s="6" t="str">
        <f t="shared" ref="M10" si="12">COMPLEX(K10,L10)</f>
        <v>0,52181+1,61558i</v>
      </c>
      <c r="N10" s="6">
        <f t="shared" si="4"/>
        <v>1.697758643771252</v>
      </c>
      <c r="O10" s="6">
        <f t="shared" ref="O10" si="13">IMARGUMENT(M10)</f>
        <v>1.2583869429820267</v>
      </c>
      <c r="P10" s="7" t="s">
        <v>36</v>
      </c>
      <c r="Q10" s="7" t="s">
        <v>35</v>
      </c>
      <c r="R10" s="7" t="s">
        <v>36</v>
      </c>
      <c r="S10" s="7" t="s">
        <v>35</v>
      </c>
      <c r="T10" s="7" t="s">
        <v>7</v>
      </c>
      <c r="U10" s="7" t="s">
        <v>40</v>
      </c>
    </row>
    <row r="11" spans="1:21">
      <c r="A11" s="7" t="s">
        <v>7</v>
      </c>
      <c r="B11" s="7" t="s">
        <v>20</v>
      </c>
      <c r="C11" s="7">
        <v>35.229999999999997</v>
      </c>
      <c r="D11" s="2" t="s">
        <v>16</v>
      </c>
      <c r="E11" s="2">
        <v>2</v>
      </c>
      <c r="F11" s="3">
        <v>0.128</v>
      </c>
      <c r="G11" s="3">
        <v>0.42399999999999999</v>
      </c>
      <c r="H11" s="4" t="str">
        <f t="shared" ref="H11:H14" si="14">COMPLEX(F11,G11)</f>
        <v>0,128+0,424i</v>
      </c>
      <c r="I11" s="2">
        <f t="shared" ref="I11:I14" si="15">IMABS(H11)</f>
        <v>0.44289953714132513</v>
      </c>
      <c r="J11" s="2">
        <f t="shared" si="2"/>
        <v>73.201628218694708</v>
      </c>
      <c r="K11" s="5">
        <v>0.52181</v>
      </c>
      <c r="L11" s="5">
        <v>1.61558</v>
      </c>
      <c r="M11" s="6" t="str">
        <f t="shared" si="3"/>
        <v>0,52181+1,61558i</v>
      </c>
      <c r="N11" s="6">
        <f t="shared" si="4"/>
        <v>1.697758643771252</v>
      </c>
      <c r="O11" s="6">
        <f t="shared" si="5"/>
        <v>1.2583869429820267</v>
      </c>
      <c r="P11" s="7" t="s">
        <v>36</v>
      </c>
      <c r="Q11" s="7" t="s">
        <v>35</v>
      </c>
      <c r="R11" s="7" t="s">
        <v>36</v>
      </c>
      <c r="S11" s="7" t="s">
        <v>35</v>
      </c>
      <c r="T11" s="7" t="s">
        <v>7</v>
      </c>
      <c r="U11" s="7" t="s">
        <v>40</v>
      </c>
    </row>
    <row r="12" spans="1:21">
      <c r="A12" s="7" t="s">
        <v>40</v>
      </c>
      <c r="B12" s="7" t="s">
        <v>12</v>
      </c>
      <c r="C12" s="7">
        <v>3.5</v>
      </c>
      <c r="D12" s="2" t="s">
        <v>41</v>
      </c>
      <c r="E12" s="2">
        <v>2</v>
      </c>
      <c r="F12" s="3">
        <v>4.9029999999999997E-2</v>
      </c>
      <c r="G12" s="3">
        <v>0.23358999999999999</v>
      </c>
      <c r="H12" s="4" t="str">
        <f t="shared" ref="H12" si="16">COMPLEX(F12,G12)</f>
        <v>0,04903+0,23359i</v>
      </c>
      <c r="I12" s="2">
        <f t="shared" ref="I12" si="17">IMABS(H12)</f>
        <v>0.23868018141437716</v>
      </c>
      <c r="J12" s="2">
        <f t="shared" si="2"/>
        <v>78.145835663998866</v>
      </c>
      <c r="K12" s="5">
        <v>0.45776</v>
      </c>
      <c r="L12" s="5">
        <v>1.42489</v>
      </c>
      <c r="M12" s="6" t="str">
        <f t="shared" ref="M12" si="18">COMPLEX(K12,L12)</f>
        <v>0,45776+1,42489i</v>
      </c>
      <c r="N12" s="6">
        <f t="shared" si="4"/>
        <v>1.4966147566090613</v>
      </c>
      <c r="O12" s="6">
        <f t="shared" ref="O12" si="19">IMARGUMENT(M12)</f>
        <v>1.2599509424940258</v>
      </c>
      <c r="P12" s="7" t="s">
        <v>38</v>
      </c>
      <c r="Q12" s="7" t="s">
        <v>35</v>
      </c>
      <c r="R12" s="7" t="s">
        <v>42</v>
      </c>
      <c r="S12" s="7" t="s">
        <v>35</v>
      </c>
      <c r="T12" s="7" t="s">
        <v>40</v>
      </c>
      <c r="U12" s="7" t="s">
        <v>43</v>
      </c>
    </row>
    <row r="13" spans="1:21">
      <c r="A13" s="7" t="s">
        <v>40</v>
      </c>
      <c r="B13" s="7" t="s">
        <v>21</v>
      </c>
      <c r="C13" s="7">
        <v>3.5</v>
      </c>
      <c r="D13" s="2" t="s">
        <v>41</v>
      </c>
      <c r="E13" s="2">
        <v>2</v>
      </c>
      <c r="F13" s="3">
        <v>4.9029999999999997E-2</v>
      </c>
      <c r="G13" s="3">
        <v>0.23358999999999999</v>
      </c>
      <c r="H13" s="4" t="str">
        <f t="shared" si="14"/>
        <v>0,04903+0,23359i</v>
      </c>
      <c r="I13" s="2">
        <f t="shared" si="15"/>
        <v>0.23868018141437716</v>
      </c>
      <c r="J13" s="2">
        <f t="shared" si="2"/>
        <v>78.145835663998866</v>
      </c>
      <c r="K13" s="5">
        <v>0.45776</v>
      </c>
      <c r="L13" s="5">
        <v>1.42489</v>
      </c>
      <c r="M13" s="6" t="str">
        <f t="shared" si="3"/>
        <v>0,45776+1,42489i</v>
      </c>
      <c r="N13" s="6">
        <f t="shared" si="4"/>
        <v>1.4966147566090613</v>
      </c>
      <c r="O13" s="6">
        <f t="shared" si="5"/>
        <v>1.2599509424940258</v>
      </c>
      <c r="P13" s="7" t="s">
        <v>38</v>
      </c>
      <c r="Q13" s="7" t="s">
        <v>35</v>
      </c>
      <c r="R13" s="7" t="s">
        <v>42</v>
      </c>
      <c r="S13" s="7" t="s">
        <v>35</v>
      </c>
      <c r="T13" s="7" t="s">
        <v>40</v>
      </c>
      <c r="U13" s="7" t="s">
        <v>43</v>
      </c>
    </row>
    <row r="14" spans="1:21">
      <c r="A14" s="7" t="s">
        <v>45</v>
      </c>
      <c r="B14" s="7" t="s">
        <v>13</v>
      </c>
      <c r="C14" s="7">
        <v>124.1</v>
      </c>
      <c r="D14" s="2" t="s">
        <v>44</v>
      </c>
      <c r="E14" s="2">
        <v>2</v>
      </c>
      <c r="F14" s="3">
        <v>9.7739999999999994E-2</v>
      </c>
      <c r="G14" s="3">
        <v>0.40054000000000001</v>
      </c>
      <c r="H14" s="4" t="str">
        <f t="shared" si="14"/>
        <v>0,09774+0,40054i</v>
      </c>
      <c r="I14" s="2">
        <f t="shared" si="15"/>
        <v>0.41229285611079891</v>
      </c>
      <c r="J14" s="2">
        <f t="shared" si="2"/>
        <v>76.286650676930449</v>
      </c>
      <c r="K14" s="5">
        <v>0.24773999999999999</v>
      </c>
      <c r="L14" s="5">
        <v>1.2016199999999999</v>
      </c>
      <c r="M14" s="6" t="str">
        <f t="shared" si="3"/>
        <v>0,24774+1,20162i</v>
      </c>
      <c r="N14" s="6">
        <f t="shared" si="4"/>
        <v>1.2268927141359995</v>
      </c>
      <c r="O14" s="6">
        <f t="shared" si="5"/>
        <v>1.3674735747897941</v>
      </c>
      <c r="P14" s="7" t="s">
        <v>38</v>
      </c>
      <c r="Q14" s="7" t="s">
        <v>35</v>
      </c>
      <c r="R14" s="7" t="s">
        <v>38</v>
      </c>
      <c r="S14" s="7" t="s">
        <v>35</v>
      </c>
      <c r="T14" s="7" t="s">
        <v>45</v>
      </c>
      <c r="U14" s="7" t="s">
        <v>40</v>
      </c>
    </row>
    <row r="15" spans="1:21">
      <c r="A15" s="7" t="s">
        <v>45</v>
      </c>
      <c r="B15" s="7" t="s">
        <v>22</v>
      </c>
      <c r="C15" s="7">
        <v>78.87</v>
      </c>
      <c r="D15" s="2" t="s">
        <v>46</v>
      </c>
      <c r="E15" s="2">
        <v>2</v>
      </c>
      <c r="F15" s="3">
        <v>9.6449999999999994E-2</v>
      </c>
      <c r="G15" s="3">
        <v>0.40656999999999999</v>
      </c>
      <c r="H15" s="4" t="str">
        <f t="shared" ref="H15" si="20">COMPLEX(F15,G15)</f>
        <v>0,09645+0,40657i</v>
      </c>
      <c r="I15" s="2">
        <f t="shared" ref="I15" si="21">IMABS(H15)</f>
        <v>0.41785376317558748</v>
      </c>
      <c r="J15" s="2">
        <f t="shared" si="2"/>
        <v>76.65450649595445</v>
      </c>
      <c r="K15" s="5">
        <v>0.2445</v>
      </c>
      <c r="L15" s="5">
        <v>1.2876700000000001</v>
      </c>
      <c r="M15" s="6" t="str">
        <f t="shared" si="3"/>
        <v>0,2445+1,28767i</v>
      </c>
      <c r="N15" s="6">
        <f t="shared" si="4"/>
        <v>1.3106770307364055</v>
      </c>
      <c r="O15" s="6">
        <f t="shared" si="5"/>
        <v>1.3831522852746667</v>
      </c>
      <c r="P15" s="7" t="s">
        <v>38</v>
      </c>
      <c r="Q15" s="7" t="s">
        <v>35</v>
      </c>
      <c r="R15" s="7" t="s">
        <v>38</v>
      </c>
      <c r="S15" s="7" t="s">
        <v>35</v>
      </c>
      <c r="T15" s="7" t="s">
        <v>45</v>
      </c>
      <c r="U15" s="7" t="s">
        <v>47</v>
      </c>
    </row>
    <row r="16" spans="1:21">
      <c r="A16" s="7" t="s">
        <v>47</v>
      </c>
      <c r="B16" s="7" t="s">
        <v>0</v>
      </c>
      <c r="C16" s="7">
        <v>48.63</v>
      </c>
      <c r="D16" s="2" t="s">
        <v>44</v>
      </c>
      <c r="E16" s="2">
        <v>2</v>
      </c>
      <c r="F16" s="3">
        <v>9.7739999999999994E-2</v>
      </c>
      <c r="G16" s="3">
        <v>0.40054000000000001</v>
      </c>
      <c r="H16" s="4" t="str">
        <f t="shared" ref="H16:H19" si="22">COMPLEX(F16,G16)</f>
        <v>0,09774+0,40054i</v>
      </c>
      <c r="I16" s="2">
        <f t="shared" ref="I16:I19" si="23">IMABS(H16)</f>
        <v>0.41229285611079891</v>
      </c>
      <c r="J16" s="2">
        <f t="shared" si="2"/>
        <v>76.286650676930449</v>
      </c>
      <c r="K16" s="5">
        <v>0.24773999999999999</v>
      </c>
      <c r="L16" s="5">
        <v>1.2016199999999999</v>
      </c>
      <c r="M16" s="6" t="str">
        <f t="shared" si="3"/>
        <v>0,24774+1,20162i</v>
      </c>
      <c r="N16" s="6">
        <f t="shared" si="4"/>
        <v>1.2268927141359995</v>
      </c>
      <c r="O16" s="6">
        <f t="shared" si="5"/>
        <v>1.3674735747897941</v>
      </c>
      <c r="P16" s="7" t="s">
        <v>34</v>
      </c>
      <c r="Q16" s="7" t="s">
        <v>35</v>
      </c>
      <c r="R16" s="7" t="s">
        <v>38</v>
      </c>
      <c r="S16" s="7" t="s">
        <v>35</v>
      </c>
      <c r="T16" s="7" t="s">
        <v>47</v>
      </c>
      <c r="U16" s="7" t="s">
        <v>40</v>
      </c>
    </row>
    <row r="17" spans="1:21">
      <c r="A17" s="7" t="s">
        <v>47</v>
      </c>
      <c r="B17" s="7" t="s">
        <v>23</v>
      </c>
      <c r="C17" s="7">
        <v>62</v>
      </c>
      <c r="D17" s="2" t="s">
        <v>37</v>
      </c>
      <c r="E17" s="2">
        <v>2</v>
      </c>
      <c r="F17" s="3">
        <v>6.4000000000000001E-2</v>
      </c>
      <c r="G17" s="3">
        <v>0.23400000000000001</v>
      </c>
      <c r="H17" s="4" t="str">
        <f t="shared" ref="H17" si="24">COMPLEX(F17,G17)</f>
        <v>0,064+0,234i</v>
      </c>
      <c r="I17" s="2">
        <f t="shared" ref="I17" si="25">IMABS(H17)</f>
        <v>0.24259431155738176</v>
      </c>
      <c r="J17" s="2">
        <f t="shared" si="2"/>
        <v>74.703452685569928</v>
      </c>
      <c r="K17" s="5">
        <v>0.45776</v>
      </c>
      <c r="L17" s="5">
        <v>1.42489</v>
      </c>
      <c r="M17" s="6" t="str">
        <f t="shared" ref="M17" si="26">COMPLEX(K17,L17)</f>
        <v>0,45776+1,42489i</v>
      </c>
      <c r="N17" s="6">
        <f t="shared" si="4"/>
        <v>1.4966147566090613</v>
      </c>
      <c r="O17" s="6">
        <f t="shared" ref="O17" si="27">IMARGUMENT(M17)</f>
        <v>1.2599509424940258</v>
      </c>
      <c r="P17" s="7" t="s">
        <v>42</v>
      </c>
      <c r="Q17" s="7" t="s">
        <v>35</v>
      </c>
      <c r="R17" s="7" t="s">
        <v>42</v>
      </c>
      <c r="S17" s="7" t="s">
        <v>35</v>
      </c>
      <c r="T17" s="7" t="s">
        <v>47</v>
      </c>
      <c r="U17" s="7" t="s">
        <v>48</v>
      </c>
    </row>
    <row r="18" spans="1:21">
      <c r="A18" s="7" t="s">
        <v>47</v>
      </c>
      <c r="B18" s="7" t="s">
        <v>28</v>
      </c>
      <c r="C18" s="7">
        <v>62</v>
      </c>
      <c r="D18" s="2" t="s">
        <v>37</v>
      </c>
      <c r="E18" s="2">
        <v>2</v>
      </c>
      <c r="F18" s="3">
        <v>6.4000000000000001E-2</v>
      </c>
      <c r="G18" s="3">
        <v>0.23400000000000001</v>
      </c>
      <c r="H18" s="4" t="str">
        <f t="shared" si="22"/>
        <v>0,064+0,234i</v>
      </c>
      <c r="I18" s="2">
        <f t="shared" si="23"/>
        <v>0.24259431155738176</v>
      </c>
      <c r="J18" s="2">
        <f t="shared" si="2"/>
        <v>74.703452685569928</v>
      </c>
      <c r="K18" s="5">
        <v>0.45776</v>
      </c>
      <c r="L18" s="5">
        <v>1.42489</v>
      </c>
      <c r="M18" s="6" t="str">
        <f t="shared" si="3"/>
        <v>0,45776+1,42489i</v>
      </c>
      <c r="N18" s="6">
        <f t="shared" si="4"/>
        <v>1.4966147566090613</v>
      </c>
      <c r="O18" s="6">
        <f t="shared" si="5"/>
        <v>1.2599509424940258</v>
      </c>
      <c r="P18" s="7" t="s">
        <v>42</v>
      </c>
      <c r="Q18" s="7" t="s">
        <v>35</v>
      </c>
      <c r="R18" s="7" t="s">
        <v>42</v>
      </c>
      <c r="S18" s="7" t="s">
        <v>35</v>
      </c>
      <c r="T18" s="7" t="s">
        <v>47</v>
      </c>
      <c r="U18" s="7" t="s">
        <v>48</v>
      </c>
    </row>
    <row r="19" spans="1:21">
      <c r="A19" s="7" t="s">
        <v>43</v>
      </c>
      <c r="B19" s="7" t="s">
        <v>14</v>
      </c>
      <c r="C19" s="7">
        <v>73</v>
      </c>
      <c r="D19" s="2" t="s">
        <v>16</v>
      </c>
      <c r="E19" s="2">
        <v>2</v>
      </c>
      <c r="F19" s="3">
        <v>0.128</v>
      </c>
      <c r="G19" s="3">
        <v>0.42399999999999999</v>
      </c>
      <c r="H19" s="4" t="str">
        <f t="shared" si="22"/>
        <v>0,128+0,424i</v>
      </c>
      <c r="I19" s="2">
        <f t="shared" si="23"/>
        <v>0.44289953714132513</v>
      </c>
      <c r="J19" s="2">
        <f t="shared" si="2"/>
        <v>73.201628218694708</v>
      </c>
      <c r="K19" s="5">
        <v>0.52181</v>
      </c>
      <c r="L19" s="5">
        <v>1.61558</v>
      </c>
      <c r="M19" s="6" t="str">
        <f t="shared" ref="M19" si="28">COMPLEX(K19,L19)</f>
        <v>0,52181+1,61558i</v>
      </c>
      <c r="N19" s="6">
        <f t="shared" si="4"/>
        <v>1.697758643771252</v>
      </c>
      <c r="O19" s="6">
        <f t="shared" ref="O19" si="29">IMARGUMENT(M19)</f>
        <v>1.2583869429820267</v>
      </c>
      <c r="P19" s="7" t="s">
        <v>38</v>
      </c>
      <c r="Q19" s="7" t="s">
        <v>35</v>
      </c>
      <c r="R19" s="7" t="s">
        <v>38</v>
      </c>
      <c r="S19" s="7" t="s">
        <v>35</v>
      </c>
      <c r="T19" s="7" t="s">
        <v>43</v>
      </c>
      <c r="U19" s="7" t="s">
        <v>49</v>
      </c>
    </row>
    <row r="20" spans="1:21">
      <c r="A20" s="7" t="s">
        <v>43</v>
      </c>
      <c r="B20" s="7" t="s">
        <v>24</v>
      </c>
      <c r="C20" s="7">
        <v>73</v>
      </c>
      <c r="D20" s="2" t="s">
        <v>16</v>
      </c>
      <c r="E20" s="2">
        <v>2</v>
      </c>
      <c r="F20" s="3">
        <v>0.128</v>
      </c>
      <c r="G20" s="3">
        <v>0.42399999999999999</v>
      </c>
      <c r="H20" s="4" t="str">
        <f t="shared" ref="H20:H23" si="30">COMPLEX(F20,G20)</f>
        <v>0,128+0,424i</v>
      </c>
      <c r="I20" s="2">
        <f t="shared" ref="I20:I23" si="31">IMABS(H20)</f>
        <v>0.44289953714132513</v>
      </c>
      <c r="J20" s="2">
        <f t="shared" si="2"/>
        <v>73.201628218694708</v>
      </c>
      <c r="K20" s="5">
        <v>0.52181</v>
      </c>
      <c r="L20" s="5">
        <v>1.61558</v>
      </c>
      <c r="M20" s="6" t="str">
        <f t="shared" si="3"/>
        <v>0,52181+1,61558i</v>
      </c>
      <c r="N20" s="6">
        <f t="shared" si="4"/>
        <v>1.697758643771252</v>
      </c>
      <c r="O20" s="6">
        <f t="shared" si="5"/>
        <v>1.2583869429820267</v>
      </c>
      <c r="P20" s="7" t="s">
        <v>38</v>
      </c>
      <c r="Q20" s="7" t="s">
        <v>35</v>
      </c>
      <c r="R20" s="7" t="s">
        <v>38</v>
      </c>
      <c r="S20" s="7" t="s">
        <v>35</v>
      </c>
      <c r="T20" s="7" t="s">
        <v>43</v>
      </c>
      <c r="U20" s="7" t="s">
        <v>49</v>
      </c>
    </row>
    <row r="21" spans="1:21">
      <c r="A21" s="7" t="s">
        <v>43</v>
      </c>
      <c r="B21" s="7" t="s">
        <v>29</v>
      </c>
      <c r="C21" s="7">
        <v>276</v>
      </c>
      <c r="D21" s="2" t="s">
        <v>50</v>
      </c>
      <c r="E21" s="2">
        <v>2</v>
      </c>
      <c r="F21" s="3">
        <v>0.36299999999999999</v>
      </c>
      <c r="G21" s="3">
        <v>0.23730999999999999</v>
      </c>
      <c r="H21" s="4" t="str">
        <f t="shared" ref="H21" si="32">COMPLEX(F21,G21)</f>
        <v>0,363+0,23731i</v>
      </c>
      <c r="I21" s="2">
        <f t="shared" ref="I21" si="33">IMABS(H21)</f>
        <v>0.43368771725747546</v>
      </c>
      <c r="J21" s="2">
        <f t="shared" si="2"/>
        <v>33.174513963929776</v>
      </c>
      <c r="K21" s="5">
        <v>0.38899</v>
      </c>
      <c r="L21" s="5">
        <v>1.3763099999999999</v>
      </c>
      <c r="M21" s="6" t="str">
        <f t="shared" ref="M21" si="34">COMPLEX(K21,L21)</f>
        <v>0,38899+1,37631i</v>
      </c>
      <c r="N21" s="6">
        <f t="shared" si="4"/>
        <v>1.4302246104021563</v>
      </c>
      <c r="O21" s="6">
        <f t="shared" si="5"/>
        <v>1.2953481364616168</v>
      </c>
      <c r="P21" s="7" t="s">
        <v>42</v>
      </c>
      <c r="Q21" s="7" t="s">
        <v>51</v>
      </c>
      <c r="R21" s="7" t="s">
        <v>42</v>
      </c>
      <c r="S21" s="7" t="s">
        <v>51</v>
      </c>
      <c r="T21" s="7" t="s">
        <v>43</v>
      </c>
      <c r="U21" s="7" t="s">
        <v>52</v>
      </c>
    </row>
    <row r="22" spans="1:21">
      <c r="A22" s="7" t="s">
        <v>43</v>
      </c>
      <c r="B22" s="7" t="s">
        <v>33</v>
      </c>
      <c r="C22" s="7">
        <v>276</v>
      </c>
      <c r="D22" s="2" t="s">
        <v>50</v>
      </c>
      <c r="E22" s="2">
        <v>2</v>
      </c>
      <c r="F22" s="3">
        <v>0.36299999999999999</v>
      </c>
      <c r="G22" s="3">
        <v>0.23730999999999999</v>
      </c>
      <c r="H22" s="4" t="str">
        <f t="shared" si="30"/>
        <v>0,363+0,23731i</v>
      </c>
      <c r="I22" s="2">
        <f t="shared" si="31"/>
        <v>0.43368771725747546</v>
      </c>
      <c r="J22" s="2">
        <f t="shared" si="2"/>
        <v>33.174513963929776</v>
      </c>
      <c r="K22" s="5">
        <v>0.38899</v>
      </c>
      <c r="L22" s="5">
        <v>1.3763099999999999</v>
      </c>
      <c r="M22" s="6" t="str">
        <f t="shared" si="3"/>
        <v>0,38899+1,37631i</v>
      </c>
      <c r="N22" s="6">
        <f t="shared" si="4"/>
        <v>1.4302246104021563</v>
      </c>
      <c r="O22" s="6">
        <f t="shared" si="5"/>
        <v>1.2953481364616168</v>
      </c>
      <c r="P22" s="7" t="s">
        <v>42</v>
      </c>
      <c r="Q22" s="7" t="s">
        <v>51</v>
      </c>
      <c r="R22" s="7" t="s">
        <v>42</v>
      </c>
      <c r="S22" s="7" t="s">
        <v>51</v>
      </c>
      <c r="T22" s="7" t="s">
        <v>43</v>
      </c>
      <c r="U22" s="7" t="s">
        <v>52</v>
      </c>
    </row>
    <row r="23" spans="1:21">
      <c r="A23" s="7" t="s">
        <v>8</v>
      </c>
      <c r="B23" s="7" t="s">
        <v>15</v>
      </c>
      <c r="C23" s="7">
        <v>69</v>
      </c>
      <c r="D23" s="2" t="s">
        <v>50</v>
      </c>
      <c r="E23" s="2">
        <v>2</v>
      </c>
      <c r="F23" s="3">
        <v>0.36299999999999999</v>
      </c>
      <c r="G23" s="3">
        <v>0.23730999999999999</v>
      </c>
      <c r="H23" s="4" t="str">
        <f t="shared" si="30"/>
        <v>0,363+0,23731i</v>
      </c>
      <c r="I23" s="2">
        <f t="shared" si="31"/>
        <v>0.43368771725747546</v>
      </c>
      <c r="J23" s="2">
        <f t="shared" si="2"/>
        <v>33.174513963929776</v>
      </c>
      <c r="K23" s="5">
        <v>0.38899</v>
      </c>
      <c r="L23" s="5">
        <v>1.3763099999999999</v>
      </c>
      <c r="M23" s="6" t="str">
        <f t="shared" ref="M23" si="35">COMPLEX(K23,L23)</f>
        <v>0,38899+1,37631i</v>
      </c>
      <c r="N23" s="6">
        <f t="shared" si="4"/>
        <v>1.4302246104021563</v>
      </c>
      <c r="O23" s="6">
        <f t="shared" si="5"/>
        <v>1.2953481364616168</v>
      </c>
      <c r="P23" s="7" t="s">
        <v>42</v>
      </c>
      <c r="Q23" s="7" t="s">
        <v>51</v>
      </c>
      <c r="R23" s="7" t="s">
        <v>42</v>
      </c>
      <c r="S23" s="7" t="s">
        <v>51</v>
      </c>
      <c r="T23" s="7" t="s">
        <v>8</v>
      </c>
      <c r="U23" s="7" t="s">
        <v>43</v>
      </c>
    </row>
    <row r="24" spans="1:21">
      <c r="A24" s="7" t="s">
        <v>8</v>
      </c>
      <c r="B24" s="7" t="s">
        <v>25</v>
      </c>
      <c r="C24" s="7">
        <v>69</v>
      </c>
      <c r="D24" s="2" t="s">
        <v>50</v>
      </c>
      <c r="E24" s="2">
        <v>2</v>
      </c>
      <c r="F24" s="3">
        <v>0.36299999999999999</v>
      </c>
      <c r="G24" s="3">
        <v>0.23730999999999999</v>
      </c>
      <c r="H24" s="4" t="str">
        <f t="shared" ref="H24" si="36">COMPLEX(F24,G24)</f>
        <v>0,363+0,23731i</v>
      </c>
      <c r="I24" s="2">
        <f t="shared" ref="I24" si="37">IMABS(H24)</f>
        <v>0.43368771725747546</v>
      </c>
      <c r="J24" s="2">
        <f t="shared" si="2"/>
        <v>33.174513963929776</v>
      </c>
      <c r="K24" s="5">
        <v>0.38899</v>
      </c>
      <c r="L24" s="5">
        <v>1.3763099999999999</v>
      </c>
      <c r="M24" s="6" t="str">
        <f t="shared" si="3"/>
        <v>0,38899+1,37631i</v>
      </c>
      <c r="N24" s="6">
        <f t="shared" si="4"/>
        <v>1.4302246104021563</v>
      </c>
      <c r="O24" s="6">
        <f t="shared" si="5"/>
        <v>1.2953481364616168</v>
      </c>
      <c r="P24" s="7" t="s">
        <v>42</v>
      </c>
      <c r="Q24" s="7" t="s">
        <v>51</v>
      </c>
      <c r="R24" s="7" t="s">
        <v>42</v>
      </c>
      <c r="S24" s="7" t="s">
        <v>51</v>
      </c>
      <c r="T24" s="7" t="s">
        <v>8</v>
      </c>
      <c r="U24" s="7" t="s">
        <v>43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line_impedance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YOS ADIKA NOVANDRA MARBUN</cp:lastModifiedBy>
  <dcterms:created xsi:type="dcterms:W3CDTF">2021-09-18T14:11:00Z</dcterms:created>
  <dcterms:modified xsi:type="dcterms:W3CDTF">2026-05-16T11:01:53Z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44DEF8B45B1E4EAAB545150508B69CEC</vt:lpwstr>
  </property>
  <property fmtid="{D5CDD505-2E9C-101B-9397-08002B2CF9AE}" pid="3" name="KSOProductBuildVer">
    <vt:lpwstr>1033-11.2.0.11225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2026-05-16T10:18:16Z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0e48f9d7-2701-4b80-bb71-211bde24768a</vt:lpwstr>
  </property>
  <property fmtid="{D5CDD505-2E9C-101B-9397-08002B2CF9AE}" pid="9" name="MSIP_Label_defa4170-0d19-0005-0004-bc88714345d2_ActionId">
    <vt:lpwstr>575d6358-277d-4539-b059-503516d0d7e7</vt:lpwstr>
  </property>
  <property fmtid="{D5CDD505-2E9C-101B-9397-08002B2CF9AE}" pid="10" name="MSIP_Label_defa4170-0d19-0005-0004-bc88714345d2_ContentBits">
    <vt:lpwstr>0</vt:lpwstr>
  </property>
</Properties>
</file>