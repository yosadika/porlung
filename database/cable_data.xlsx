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ult-locator-app\database\"/>
    </mc:Choice>
  </mc:AlternateContent>
  <xr:revisionPtr revIDLastSave="0" documentId="13_ncr:1_{620B7C1E-61FA-4FA4-BED9-EA1BC2CE3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_impedance" sheetId="4" r:id="rId1"/>
  </sheets>
  <definedNames>
    <definedName name="G.TUA">line_impedance!#REF!</definedName>
    <definedName name="GI">line_impedance!#REF!</definedName>
    <definedName name="MARTABE">line_impedance!#REF!</definedName>
    <definedName name="NEW.P.SIDEMPUAN">line_impedance!#REF!</definedName>
    <definedName name="P.SIDEMPUAN">line_impedance!#REF!</definedName>
    <definedName name="R.PRAPAT">line_impedance!#REF!</definedName>
    <definedName name="SARULLA">line_impedance!#REF!</definedName>
    <definedName name="SIBOLGA">line_impedance!#REF!</definedName>
    <definedName name="SIPAN">line_impedance!#REF!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K13" i="4" s="1"/>
  <c r="J15" i="4"/>
  <c r="K15" i="4" s="1"/>
  <c r="J11" i="4"/>
  <c r="K11" i="4" s="1"/>
  <c r="J16" i="4"/>
  <c r="K16" i="4" s="1"/>
  <c r="J17" i="4"/>
  <c r="K17" i="4" s="1"/>
  <c r="J21" i="4"/>
  <c r="K21" i="4" s="1"/>
  <c r="J12" i="4"/>
  <c r="K12" i="4" s="1"/>
  <c r="J18" i="4"/>
  <c r="K18" i="4" s="1"/>
  <c r="J19" i="4"/>
  <c r="K19" i="4" s="1"/>
  <c r="J5" i="4"/>
  <c r="K5" i="4" s="1"/>
  <c r="J6" i="4"/>
  <c r="K6" i="4" s="1"/>
  <c r="J7" i="4"/>
  <c r="L7" i="4" s="1"/>
  <c r="J22" i="4"/>
  <c r="K22" i="4" s="1"/>
  <c r="J23" i="4"/>
  <c r="K23" i="4" s="1"/>
  <c r="J8" i="4"/>
  <c r="K8" i="4" s="1"/>
  <c r="J10" i="4"/>
  <c r="K10" i="4" s="1"/>
  <c r="J14" i="4"/>
  <c r="L14" i="4" s="1"/>
  <c r="J4" i="4"/>
  <c r="K4" i="4" s="1"/>
  <c r="J3" i="4"/>
  <c r="K3" i="4" s="1"/>
  <c r="J20" i="4"/>
  <c r="K20" i="4" s="1"/>
  <c r="J9" i="4"/>
  <c r="L9" i="4" s="1"/>
  <c r="E13" i="4"/>
  <c r="G13" i="4" s="1"/>
  <c r="E15" i="4"/>
  <c r="F15" i="4" s="1"/>
  <c r="E11" i="4"/>
  <c r="G11" i="4" s="1"/>
  <c r="E16" i="4"/>
  <c r="F16" i="4" s="1"/>
  <c r="E17" i="4"/>
  <c r="F17" i="4" s="1"/>
  <c r="E21" i="4"/>
  <c r="G21" i="4" s="1"/>
  <c r="E12" i="4"/>
  <c r="F12" i="4" s="1"/>
  <c r="E18" i="4"/>
  <c r="G18" i="4" s="1"/>
  <c r="E19" i="4"/>
  <c r="F19" i="4" s="1"/>
  <c r="E5" i="4"/>
  <c r="F5" i="4" s="1"/>
  <c r="E6" i="4"/>
  <c r="F6" i="4" s="1"/>
  <c r="E7" i="4"/>
  <c r="F7" i="4" s="1"/>
  <c r="E22" i="4"/>
  <c r="F22" i="4" s="1"/>
  <c r="E23" i="4"/>
  <c r="F23" i="4" s="1"/>
  <c r="E8" i="4"/>
  <c r="G8" i="4" s="1"/>
  <c r="E10" i="4"/>
  <c r="F10" i="4" s="1"/>
  <c r="E14" i="4"/>
  <c r="G14" i="4" s="1"/>
  <c r="E4" i="4"/>
  <c r="G4" i="4" s="1"/>
  <c r="E3" i="4"/>
  <c r="F3" i="4" s="1"/>
  <c r="E20" i="4"/>
  <c r="F20" i="4" s="1"/>
  <c r="E9" i="4"/>
  <c r="G9" i="4" s="1"/>
  <c r="L8" i="4" l="1"/>
  <c r="F13" i="4"/>
  <c r="G12" i="4"/>
  <c r="K7" i="4"/>
  <c r="F9" i="4"/>
  <c r="K9" i="4"/>
  <c r="F4" i="4"/>
  <c r="F18" i="4"/>
  <c r="F14" i="4"/>
  <c r="F21" i="4"/>
  <c r="G10" i="4"/>
  <c r="G16" i="4"/>
  <c r="F8" i="4"/>
  <c r="F11" i="4"/>
  <c r="G7" i="4"/>
  <c r="G15" i="4"/>
  <c r="K14" i="4"/>
  <c r="G20" i="4"/>
  <c r="G6" i="4"/>
  <c r="L4" i="4"/>
  <c r="L10" i="4"/>
  <c r="L6" i="4"/>
  <c r="L18" i="4"/>
  <c r="L16" i="4"/>
  <c r="G3" i="4"/>
  <c r="G5" i="4"/>
  <c r="L12" i="4"/>
  <c r="L11" i="4"/>
  <c r="G23" i="4"/>
  <c r="G17" i="4"/>
  <c r="L22" i="4"/>
  <c r="L21" i="4"/>
  <c r="L15" i="4"/>
  <c r="G22" i="4"/>
  <c r="G19" i="4"/>
  <c r="L20" i="4"/>
  <c r="L19" i="4"/>
  <c r="L3" i="4"/>
  <c r="L23" i="4"/>
  <c r="L5" i="4"/>
  <c r="L17" i="4"/>
  <c r="L13" i="4"/>
</calcChain>
</file>

<file path=xl/sharedStrings.xml><?xml version="1.0" encoding="utf-8"?>
<sst xmlns="http://schemas.openxmlformats.org/spreadsheetml/2006/main" count="33" uniqueCount="33">
  <si>
    <t>JENIS
KONDUKTOR</t>
  </si>
  <si>
    <t>ACSR 1x240 mm2</t>
  </si>
  <si>
    <t>ACSR 2x240 mm2</t>
  </si>
  <si>
    <t>ACCC 1x310 mm2</t>
  </si>
  <si>
    <t>HVCRC 1x310 mm2</t>
  </si>
  <si>
    <t>ACSR 2x435 mm2 (T-275kV)</t>
  </si>
  <si>
    <t>JLH SIRKIT</t>
  </si>
  <si>
    <t>Z1 REAL</t>
  </si>
  <si>
    <t>Z1 IMG</t>
  </si>
  <si>
    <t>Z1 ABS</t>
  </si>
  <si>
    <t>Z1 ANGLE</t>
  </si>
  <si>
    <t>Impedansi Z1</t>
  </si>
  <si>
    <t>Z0 REAL</t>
  </si>
  <si>
    <t>Z0 IMG</t>
  </si>
  <si>
    <t>Impedansi Z0</t>
  </si>
  <si>
    <t>Z0 ABS</t>
  </si>
  <si>
    <t>Z0 ANGLE</t>
  </si>
  <si>
    <t>ACSR 2x281 mm2</t>
  </si>
  <si>
    <t>ACSR 1x300 mm2</t>
  </si>
  <si>
    <t>ACSR 2x400 mm2</t>
  </si>
  <si>
    <t>ACSR 2x430 mm2</t>
  </si>
  <si>
    <t>ACSR 4x430 mm2</t>
  </si>
  <si>
    <t>ACSR 1x435 mm2 (T-150kV)</t>
  </si>
  <si>
    <t>ACSR 2x435 mm2 (T-150kV)</t>
  </si>
  <si>
    <t>ACCC 1x360 mm2</t>
  </si>
  <si>
    <t>ACCC 2x310 mm2</t>
  </si>
  <si>
    <t>ACCC 2x550 mm2</t>
  </si>
  <si>
    <t>ACFR 1x315 mm2</t>
  </si>
  <si>
    <t>XLPE 1 x 240 mm2</t>
  </si>
  <si>
    <t>ACSR 1x210 mm2</t>
  </si>
  <si>
    <t>ACSR 1x250 mm2</t>
  </si>
  <si>
    <t>ACSR 2x250 mm2</t>
  </si>
  <si>
    <t>ACSR 2X450 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</si>
</sst>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zoomScaleNormal="100" workbookViewId="0">
      <selection activeCell="H28" sqref="H28"/>
    </sheetView>
  </sheetViews>
  <sheetFormatPr defaultColWidth="9.140625" defaultRowHeight="15"/>
  <cols>
    <col min="1" max="1" width="28.5703125" style="1" bestFit="1" customWidth="1"/>
    <col min="2" max="4" width="11.140625" style="1" customWidth="1"/>
    <col min="5" max="5" width="25.5703125" style="1" customWidth="1"/>
    <col min="6" max="7" width="12" style="1" customWidth="1"/>
    <col min="8" max="9" width="11.140625" style="1" customWidth="1"/>
    <col min="10" max="10" width="25.5703125" style="1" customWidth="1"/>
    <col min="11" max="12" width="12" style="1" customWidth="1"/>
    <col min="13" max="16384" width="9.140625" style="1"/>
  </cols>
  <sheetData>
    <row r="1" spans="1:12" ht="19.5" customHeight="1"/>
    <row r="2" spans="1:12" ht="15" customHeight="1">
      <c r="A2" s="8" t="s">
        <v>0</v>
      </c>
      <c r="B2" s="9" t="s">
        <v>6</v>
      </c>
      <c r="C2" s="10" t="s">
        <v>7</v>
      </c>
      <c r="D2" s="10" t="s">
        <v>8</v>
      </c>
      <c r="E2" s="10" t="s">
        <v>11</v>
      </c>
      <c r="F2" s="10" t="s">
        <v>9</v>
      </c>
      <c r="G2" s="10" t="s">
        <v>10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</row>
    <row r="3" spans="1:12">
      <c r="A3" s="7" t="s">
        <v>3</v>
      </c>
      <c r="B3" s="2">
        <v>2</v>
      </c>
      <c r="C3" s="7">
        <v>9.7739999999999994E-2</v>
      </c>
      <c r="D3" s="7">
        <v>0.40054000000000001</v>
      </c>
      <c r="E3" s="4" t="str">
        <f t="shared" ref="E3:E23" si="0">COMPLEX(C3,D3)</f>
        <v>0,09774+0,40054i</v>
      </c>
      <c r="F3" s="2">
        <f t="shared" ref="F3:F23" si="1">IMABS(E3)</f>
        <v>0.41229285611079891</v>
      </c>
      <c r="G3" s="2">
        <f t="shared" ref="G3:G23" si="2">DEGREES(IMARGUMENT(E3))</f>
        <v>76.286650676930449</v>
      </c>
      <c r="H3" s="7">
        <v>0.49176999999999998</v>
      </c>
      <c r="I3" s="7">
        <v>1.6155999999999999</v>
      </c>
      <c r="J3" s="6" t="str">
        <f t="shared" ref="J3:J23" si="3">COMPLEX(H3,I3)</f>
        <v>0,49177+1,6156i</v>
      </c>
      <c r="K3" s="6">
        <f t="shared" ref="K3:K23" si="4">IMABS(J3)</f>
        <v>1.6887868701822619</v>
      </c>
      <c r="L3" s="6">
        <f t="shared" ref="L3:L23" si="5">DEGREES(IMARGUMENT(J3))</f>
        <v>73.070356046905502</v>
      </c>
    </row>
    <row r="4" spans="1:12">
      <c r="A4" s="7" t="s">
        <v>24</v>
      </c>
      <c r="B4" s="2">
        <v>2</v>
      </c>
      <c r="C4" s="7">
        <v>8.3879999999999996E-2</v>
      </c>
      <c r="D4" s="7">
        <v>0.40054000000000001</v>
      </c>
      <c r="E4" s="4" t="str">
        <f t="shared" si="0"/>
        <v>0,08388+0,40054i</v>
      </c>
      <c r="F4" s="2">
        <f t="shared" si="1"/>
        <v>0.40922872088845375</v>
      </c>
      <c r="G4" s="2">
        <f t="shared" si="2"/>
        <v>78.17220146028555</v>
      </c>
      <c r="H4" s="7">
        <v>0.47792000000000001</v>
      </c>
      <c r="I4" s="7">
        <v>1.6107</v>
      </c>
      <c r="J4" s="6" t="str">
        <f t="shared" si="3"/>
        <v>0,47792+1,6107i</v>
      </c>
      <c r="K4" s="6">
        <f t="shared" si="4"/>
        <v>1.6801077395214867</v>
      </c>
      <c r="L4" s="6">
        <f t="shared" si="5"/>
        <v>73.473549735436535</v>
      </c>
    </row>
    <row r="5" spans="1:12">
      <c r="A5" s="2" t="s">
        <v>25</v>
      </c>
      <c r="B5" s="2">
        <v>2</v>
      </c>
      <c r="C5" s="3">
        <v>4.8869999999999997E-2</v>
      </c>
      <c r="D5" s="3">
        <v>0.23358999999999999</v>
      </c>
      <c r="E5" s="4" t="str">
        <f t="shared" si="0"/>
        <v>0,04887+0,23359i</v>
      </c>
      <c r="F5" s="2">
        <f t="shared" si="1"/>
        <v>0.23864736537410169</v>
      </c>
      <c r="G5" s="2">
        <f t="shared" si="2"/>
        <v>78.183430127319255</v>
      </c>
      <c r="H5" s="5">
        <v>0.44290000000000002</v>
      </c>
      <c r="I5" s="5">
        <v>1.42489</v>
      </c>
      <c r="J5" s="6" t="str">
        <f t="shared" si="3"/>
        <v>0,4429+1,42489i</v>
      </c>
      <c r="K5" s="6">
        <f t="shared" si="4"/>
        <v>1.4921366968545475</v>
      </c>
      <c r="L5" s="6">
        <f t="shared" si="5"/>
        <v>72.733135056311241</v>
      </c>
    </row>
    <row r="6" spans="1:12">
      <c r="A6" s="7" t="s">
        <v>26</v>
      </c>
      <c r="B6" s="2">
        <v>2</v>
      </c>
      <c r="C6" s="7">
        <v>2.7980000000000001E-2</v>
      </c>
      <c r="D6" s="7">
        <v>0.23358999999999999</v>
      </c>
      <c r="E6" s="4" t="str">
        <f t="shared" si="0"/>
        <v>0,02798+0,23359i</v>
      </c>
      <c r="F6" s="2">
        <f t="shared" si="1"/>
        <v>0.23525978938186609</v>
      </c>
      <c r="G6" s="2">
        <f t="shared" si="2"/>
        <v>83.169510423772849</v>
      </c>
      <c r="H6" s="7">
        <v>0.42201</v>
      </c>
      <c r="I6" s="7">
        <v>1.42489</v>
      </c>
      <c r="J6" s="6" t="str">
        <f t="shared" si="3"/>
        <v>0,42201+1,42489i</v>
      </c>
      <c r="K6" s="6">
        <f t="shared" si="4"/>
        <v>1.486069968810352</v>
      </c>
      <c r="L6" s="6">
        <f t="shared" si="5"/>
        <v>73.502278930779866</v>
      </c>
    </row>
    <row r="7" spans="1:12">
      <c r="A7" s="7" t="s">
        <v>27</v>
      </c>
      <c r="B7" s="2">
        <v>2</v>
      </c>
      <c r="C7" s="7">
        <v>9.6350000000000005E-2</v>
      </c>
      <c r="D7" s="7">
        <v>0.42266999999999999</v>
      </c>
      <c r="E7" s="4" t="str">
        <f t="shared" si="0"/>
        <v>0,09635+0,42267i</v>
      </c>
      <c r="F7" s="2">
        <f t="shared" si="1"/>
        <v>0.43351268885696986</v>
      </c>
      <c r="G7" s="2">
        <f t="shared" si="2"/>
        <v>77.158534556278539</v>
      </c>
      <c r="H7" s="7">
        <v>0.24635000000000001</v>
      </c>
      <c r="I7" s="7">
        <v>1.2680100000000001</v>
      </c>
      <c r="J7" s="6" t="str">
        <f t="shared" si="3"/>
        <v>0,24635+1,26801i</v>
      </c>
      <c r="K7" s="6">
        <f t="shared" si="4"/>
        <v>1.2917188868325802</v>
      </c>
      <c r="L7" s="6">
        <f t="shared" si="5"/>
        <v>79.005493855489007</v>
      </c>
    </row>
    <row r="8" spans="1:12">
      <c r="A8" s="7" t="s">
        <v>29</v>
      </c>
      <c r="B8" s="2">
        <v>2</v>
      </c>
      <c r="C8" s="7">
        <v>0.155</v>
      </c>
      <c r="D8" s="7">
        <v>0.40400000000000003</v>
      </c>
      <c r="E8" s="4" t="str">
        <f t="shared" si="0"/>
        <v>0,155+0,404i</v>
      </c>
      <c r="F8" s="2">
        <f t="shared" si="1"/>
        <v>0.43271353110343108</v>
      </c>
      <c r="G8" s="2">
        <f t="shared" si="2"/>
        <v>69.0100215499629</v>
      </c>
      <c r="H8" s="7">
        <v>0.63017000000000001</v>
      </c>
      <c r="I8" s="7">
        <v>1.73481</v>
      </c>
      <c r="J8" s="6" t="str">
        <f t="shared" si="3"/>
        <v>0,63017+1,73481i</v>
      </c>
      <c r="K8" s="6">
        <f t="shared" si="4"/>
        <v>1.8457193624709038</v>
      </c>
      <c r="L8" s="6">
        <f t="shared" si="5"/>
        <v>70.036439760853497</v>
      </c>
    </row>
    <row r="9" spans="1:12">
      <c r="A9" s="2" t="s">
        <v>1</v>
      </c>
      <c r="B9" s="2">
        <v>2</v>
      </c>
      <c r="C9" s="3">
        <v>0.128</v>
      </c>
      <c r="D9" s="3">
        <v>0.42399999999999999</v>
      </c>
      <c r="E9" s="4" t="str">
        <f t="shared" si="0"/>
        <v>0,128+0,424i</v>
      </c>
      <c r="F9" s="2">
        <f t="shared" si="1"/>
        <v>0.44289953714132513</v>
      </c>
      <c r="G9" s="2">
        <f t="shared" si="2"/>
        <v>73.201628218694708</v>
      </c>
      <c r="H9" s="5">
        <v>0.52181</v>
      </c>
      <c r="I9" s="5">
        <v>1.61558</v>
      </c>
      <c r="J9" s="6" t="str">
        <f t="shared" si="3"/>
        <v>0,52181+1,61558i</v>
      </c>
      <c r="K9" s="6">
        <f t="shared" si="4"/>
        <v>1.697758643771252</v>
      </c>
      <c r="L9" s="6">
        <f t="shared" si="5"/>
        <v>72.100260827239893</v>
      </c>
    </row>
    <row r="10" spans="1:12">
      <c r="A10" s="7" t="s">
        <v>30</v>
      </c>
      <c r="B10" s="2">
        <v>2</v>
      </c>
      <c r="C10" s="7">
        <v>0.125</v>
      </c>
      <c r="D10" s="7">
        <v>0.42399999999999999</v>
      </c>
      <c r="E10" s="4" t="str">
        <f t="shared" si="0"/>
        <v>0,125+0,424i</v>
      </c>
      <c r="F10" s="2">
        <f t="shared" si="1"/>
        <v>0.44204185322206763</v>
      </c>
      <c r="G10" s="2">
        <f t="shared" si="2"/>
        <v>73.573886340463361</v>
      </c>
      <c r="H10" s="7">
        <v>0.51856999999999998</v>
      </c>
      <c r="I10" s="7">
        <v>1.61558</v>
      </c>
      <c r="J10" s="6" t="str">
        <f t="shared" si="3"/>
        <v>0,51857+1,61558i</v>
      </c>
      <c r="K10" s="6">
        <f t="shared" si="4"/>
        <v>1.6967656235614865</v>
      </c>
      <c r="L10" s="6">
        <f t="shared" si="5"/>
        <v>72.204372288661673</v>
      </c>
    </row>
    <row r="11" spans="1:12">
      <c r="A11" s="2" t="s">
        <v>18</v>
      </c>
      <c r="B11" s="2">
        <v>2</v>
      </c>
      <c r="C11" s="3">
        <v>0.10308</v>
      </c>
      <c r="D11" s="3">
        <v>0.41821999999999998</v>
      </c>
      <c r="E11" s="4" t="str">
        <f t="shared" si="0"/>
        <v>0,10308+0,41822i</v>
      </c>
      <c r="F11" s="2">
        <f t="shared" si="1"/>
        <v>0.43073594556293993</v>
      </c>
      <c r="G11" s="2">
        <f t="shared" si="2"/>
        <v>76.154100827837965</v>
      </c>
      <c r="H11" s="5">
        <v>0.25308000000000003</v>
      </c>
      <c r="I11" s="5">
        <v>1.2546600000000001</v>
      </c>
      <c r="J11" s="6" t="str">
        <f t="shared" si="3"/>
        <v>0,25308+1,25466i</v>
      </c>
      <c r="K11" s="6">
        <f t="shared" si="4"/>
        <v>1.2799301551256617</v>
      </c>
      <c r="L11" s="6">
        <f t="shared" si="5"/>
        <v>78.595780016443101</v>
      </c>
    </row>
    <row r="12" spans="1:12">
      <c r="A12" s="2" t="s">
        <v>22</v>
      </c>
      <c r="B12" s="2">
        <v>2</v>
      </c>
      <c r="C12" s="3">
        <v>7.2599999999999998E-2</v>
      </c>
      <c r="D12" s="3">
        <v>0.40676000000000001</v>
      </c>
      <c r="E12" s="4" t="str">
        <f t="shared" si="0"/>
        <v>0,0726+0,40676i</v>
      </c>
      <c r="F12" s="2">
        <f t="shared" si="1"/>
        <v>0.4131881624635439</v>
      </c>
      <c r="G12" s="2">
        <f t="shared" si="2"/>
        <v>79.880203635130897</v>
      </c>
      <c r="H12" s="5">
        <v>0.46664</v>
      </c>
      <c r="I12" s="5">
        <v>1.59806</v>
      </c>
      <c r="J12" s="6" t="str">
        <f t="shared" si="3"/>
        <v>0,46664+1,59806i</v>
      </c>
      <c r="K12" s="6">
        <f t="shared" si="4"/>
        <v>1.6647968804631994</v>
      </c>
      <c r="L12" s="6">
        <f t="shared" si="5"/>
        <v>73.721981529359567</v>
      </c>
    </row>
    <row r="13" spans="1:12">
      <c r="A13" s="2" t="s">
        <v>2</v>
      </c>
      <c r="B13" s="2">
        <v>2</v>
      </c>
      <c r="C13" s="3">
        <v>6.4000000000000001E-2</v>
      </c>
      <c r="D13" s="3">
        <v>0.23400000000000001</v>
      </c>
      <c r="E13" s="4" t="str">
        <f t="shared" si="0"/>
        <v>0,064+0,234i</v>
      </c>
      <c r="F13" s="2">
        <f t="shared" si="1"/>
        <v>0.24259431155738176</v>
      </c>
      <c r="G13" s="2">
        <f t="shared" si="2"/>
        <v>74.703452685569928</v>
      </c>
      <c r="H13" s="5">
        <v>0.45791999999999999</v>
      </c>
      <c r="I13" s="5">
        <v>1.4248000000000001</v>
      </c>
      <c r="J13" s="6" t="str">
        <f t="shared" si="3"/>
        <v>0,45792+1,4248i</v>
      </c>
      <c r="K13" s="6">
        <f t="shared" si="4"/>
        <v>1.4965780188149231</v>
      </c>
      <c r="L13" s="6">
        <f t="shared" si="5"/>
        <v>72.182985552087061</v>
      </c>
    </row>
    <row r="14" spans="1:12">
      <c r="A14" s="7" t="s">
        <v>31</v>
      </c>
      <c r="B14" s="2">
        <v>2</v>
      </c>
      <c r="C14" s="7">
        <v>6.1827149999999997E-2</v>
      </c>
      <c r="D14" s="7">
        <v>0.27492491800000002</v>
      </c>
      <c r="E14" s="4" t="str">
        <f t="shared" si="0"/>
        <v>0,06182715+0,274924918i</v>
      </c>
      <c r="F14" s="2">
        <f t="shared" si="1"/>
        <v>0.28179124722820836</v>
      </c>
      <c r="G14" s="2">
        <f t="shared" si="2"/>
        <v>77.325757292196826</v>
      </c>
      <c r="H14" s="7">
        <v>0.51137356</v>
      </c>
      <c r="I14" s="7">
        <v>1.5373633200000001</v>
      </c>
      <c r="J14" s="6" t="str">
        <f t="shared" si="3"/>
        <v>0,51137356+1,53736332i</v>
      </c>
      <c r="K14" s="6">
        <f t="shared" si="4"/>
        <v>1.6201817476902078</v>
      </c>
      <c r="L14" s="6">
        <f t="shared" si="5"/>
        <v>71.601313670398824</v>
      </c>
    </row>
    <row r="15" spans="1:12">
      <c r="A15" s="2" t="s">
        <v>17</v>
      </c>
      <c r="B15" s="2">
        <v>2</v>
      </c>
      <c r="C15" s="3">
        <v>5.3100000000000001E-2</v>
      </c>
      <c r="D15" s="3">
        <v>0.23358999999999999</v>
      </c>
      <c r="E15" s="4" t="str">
        <f t="shared" si="0"/>
        <v>0,0531+0,23359i</v>
      </c>
      <c r="F15" s="2">
        <f t="shared" si="1"/>
        <v>0.23954936464119458</v>
      </c>
      <c r="G15" s="2">
        <f t="shared" si="2"/>
        <v>77.193083551166993</v>
      </c>
      <c r="H15" s="5">
        <v>0.44713999999999998</v>
      </c>
      <c r="I15" s="5">
        <v>1.42489</v>
      </c>
      <c r="J15" s="6" t="str">
        <f t="shared" si="3"/>
        <v>0,44714+1,42489i</v>
      </c>
      <c r="K15" s="6">
        <f t="shared" si="4"/>
        <v>1.4934007137068068</v>
      </c>
      <c r="L15" s="6">
        <f t="shared" si="5"/>
        <v>72.577794307699151</v>
      </c>
    </row>
    <row r="16" spans="1:12">
      <c r="A16" s="2" t="s">
        <v>19</v>
      </c>
      <c r="B16" s="2">
        <v>2</v>
      </c>
      <c r="C16" s="3">
        <v>3.7159999999999999E-2</v>
      </c>
      <c r="D16" s="3">
        <v>0.23358999999999999</v>
      </c>
      <c r="E16" s="4" t="str">
        <f t="shared" si="0"/>
        <v>0,03716+0,23359i</v>
      </c>
      <c r="F16" s="2">
        <f t="shared" si="1"/>
        <v>0.2365272789764428</v>
      </c>
      <c r="G16" s="2">
        <f t="shared" si="2"/>
        <v>80.961006528682219</v>
      </c>
      <c r="H16" s="5">
        <v>0.43120000000000003</v>
      </c>
      <c r="I16" s="5">
        <v>1.42489</v>
      </c>
      <c r="J16" s="6" t="str">
        <f t="shared" si="3"/>
        <v>0,4312+1,42489i</v>
      </c>
      <c r="K16" s="6">
        <f t="shared" si="4"/>
        <v>1.4887057976981217</v>
      </c>
      <c r="L16" s="6">
        <f t="shared" si="5"/>
        <v>73.163142940754625</v>
      </c>
    </row>
    <row r="17" spans="1:12">
      <c r="A17" s="2" t="s">
        <v>20</v>
      </c>
      <c r="B17" s="2">
        <v>2</v>
      </c>
      <c r="C17" s="3">
        <v>3.6760000000000001E-2</v>
      </c>
      <c r="D17" s="3">
        <v>0.23358999999999999</v>
      </c>
      <c r="E17" s="4" t="str">
        <f t="shared" si="0"/>
        <v>0,03676+0,23359i</v>
      </c>
      <c r="F17" s="2">
        <f t="shared" si="1"/>
        <v>0.23646476629722235</v>
      </c>
      <c r="G17" s="2">
        <f t="shared" si="2"/>
        <v>81.056723599040183</v>
      </c>
      <c r="H17" s="5">
        <v>0.43080000000000002</v>
      </c>
      <c r="I17" s="5">
        <v>1.42489</v>
      </c>
      <c r="J17" s="6" t="str">
        <f t="shared" si="3"/>
        <v>0,4308+1,42489i</v>
      </c>
      <c r="K17" s="6">
        <f t="shared" si="4"/>
        <v>1.4885899879080202</v>
      </c>
      <c r="L17" s="6">
        <f t="shared" si="5"/>
        <v>73.177878953678047</v>
      </c>
    </row>
    <row r="18" spans="1:12">
      <c r="A18" s="2" t="s">
        <v>23</v>
      </c>
      <c r="B18" s="2">
        <v>2</v>
      </c>
      <c r="C18" s="3">
        <v>3.6400000000000002E-2</v>
      </c>
      <c r="D18" s="3">
        <v>0.23899999999999999</v>
      </c>
      <c r="E18" s="4" t="str">
        <f t="shared" si="0"/>
        <v>0,0364+0,239i</v>
      </c>
      <c r="F18" s="2">
        <f t="shared" si="1"/>
        <v>0.24175599268684117</v>
      </c>
      <c r="G18" s="2">
        <f t="shared" si="2"/>
        <v>81.340327306842028</v>
      </c>
      <c r="H18" s="5">
        <v>0.42288999999999999</v>
      </c>
      <c r="I18" s="5">
        <v>1.4342299999999999</v>
      </c>
      <c r="J18" s="6" t="str">
        <f t="shared" si="3"/>
        <v>0,42289+1,43423i</v>
      </c>
      <c r="K18" s="6">
        <f t="shared" si="4"/>
        <v>1.4952764443406441</v>
      </c>
      <c r="L18" s="6">
        <f t="shared" si="5"/>
        <v>73.571579685563336</v>
      </c>
    </row>
    <row r="19" spans="1:12">
      <c r="A19" s="2" t="s">
        <v>5</v>
      </c>
      <c r="B19" s="2">
        <v>2</v>
      </c>
      <c r="C19" s="3">
        <v>3.4000000000000002E-2</v>
      </c>
      <c r="D19" s="3">
        <v>0.311</v>
      </c>
      <c r="E19" s="4" t="str">
        <f t="shared" si="0"/>
        <v>0,034+0,311i</v>
      </c>
      <c r="F19" s="2">
        <f t="shared" si="1"/>
        <v>0.31285300062489407</v>
      </c>
      <c r="G19" s="2">
        <f t="shared" si="2"/>
        <v>83.760930244952448</v>
      </c>
      <c r="H19" s="5">
        <v>0.38899</v>
      </c>
      <c r="I19" s="5">
        <v>1.3763099999999999</v>
      </c>
      <c r="J19" s="6" t="str">
        <f t="shared" si="3"/>
        <v>0,38899+1,37631i</v>
      </c>
      <c r="K19" s="6">
        <f t="shared" si="4"/>
        <v>1.4302246104021563</v>
      </c>
      <c r="L19" s="6">
        <f t="shared" si="5"/>
        <v>74.217981219386871</v>
      </c>
    </row>
    <row r="20" spans="1:12">
      <c r="A20" s="7" t="s">
        <v>32</v>
      </c>
      <c r="B20" s="2">
        <v>2</v>
      </c>
      <c r="C20" s="7">
        <v>4.4999999999999998E-2</v>
      </c>
      <c r="D20" s="7">
        <v>0.26</v>
      </c>
      <c r="E20" s="4" t="str">
        <f t="shared" si="0"/>
        <v>0,045+0,26i</v>
      </c>
      <c r="F20" s="2">
        <f t="shared" si="1"/>
        <v>0.2638654960391752</v>
      </c>
      <c r="G20" s="2">
        <f t="shared" si="2"/>
        <v>80.180699361242105</v>
      </c>
      <c r="H20" s="7">
        <v>0.45368000000000003</v>
      </c>
      <c r="I20" s="7">
        <v>1.43953</v>
      </c>
      <c r="J20" s="6" t="str">
        <f t="shared" si="3"/>
        <v>0,45368+1,43953i</v>
      </c>
      <c r="K20" s="6">
        <f t="shared" si="4"/>
        <v>1.5093283815326604</v>
      </c>
      <c r="L20" s="6">
        <f t="shared" si="5"/>
        <v>72.507315612351476</v>
      </c>
    </row>
    <row r="21" spans="1:12">
      <c r="A21" s="2" t="s">
        <v>21</v>
      </c>
      <c r="B21" s="2">
        <v>2</v>
      </c>
      <c r="C21" s="3">
        <v>1.8380000000000001E-2</v>
      </c>
      <c r="D21" s="3">
        <v>0.20788999999999999</v>
      </c>
      <c r="E21" s="4" t="str">
        <f t="shared" si="0"/>
        <v>0,01838+0,20789i</v>
      </c>
      <c r="F21" s="2">
        <f t="shared" si="1"/>
        <v>0.20870092596823808</v>
      </c>
      <c r="G21" s="2">
        <f t="shared" si="2"/>
        <v>84.947494782015852</v>
      </c>
      <c r="H21" s="5">
        <v>0.16838</v>
      </c>
      <c r="I21" s="5">
        <v>0.62366999999999995</v>
      </c>
      <c r="J21" s="6" t="str">
        <f t="shared" si="3"/>
        <v>0,16838+0,62367i</v>
      </c>
      <c r="K21" s="6">
        <f t="shared" si="4"/>
        <v>0.64600007221361821</v>
      </c>
      <c r="L21" s="6">
        <f t="shared" si="5"/>
        <v>74.891358211346528</v>
      </c>
    </row>
    <row r="22" spans="1:12">
      <c r="A22" s="7" t="s">
        <v>4</v>
      </c>
      <c r="B22" s="2">
        <v>2</v>
      </c>
      <c r="C22" s="7">
        <v>9.6449999999999994E-2</v>
      </c>
      <c r="D22" s="7">
        <v>0.40656999999999999</v>
      </c>
      <c r="E22" s="4" t="str">
        <f t="shared" si="0"/>
        <v>0,09645+0,40657i</v>
      </c>
      <c r="F22" s="2">
        <f t="shared" si="1"/>
        <v>0.41785376317558748</v>
      </c>
      <c r="G22" s="2">
        <f t="shared" si="2"/>
        <v>76.65450649595445</v>
      </c>
      <c r="H22" s="7">
        <v>0.2445</v>
      </c>
      <c r="I22" s="7">
        <v>1.2876700000000001</v>
      </c>
      <c r="J22" s="6" t="str">
        <f t="shared" si="3"/>
        <v>0,2445+1,28767i</v>
      </c>
      <c r="K22" s="6">
        <f t="shared" si="4"/>
        <v>1.3106770307364055</v>
      </c>
      <c r="L22" s="6">
        <f t="shared" si="5"/>
        <v>79.248788370113246</v>
      </c>
    </row>
    <row r="23" spans="1:12">
      <c r="A23" s="7" t="s">
        <v>28</v>
      </c>
      <c r="B23" s="2">
        <v>2</v>
      </c>
      <c r="C23" s="7">
        <v>8.2000000000000003E-2</v>
      </c>
      <c r="D23" s="7">
        <v>0.20899999999999999</v>
      </c>
      <c r="E23" s="4" t="str">
        <f t="shared" si="0"/>
        <v>0,082+0,209i</v>
      </c>
      <c r="F23" s="2">
        <f t="shared" si="1"/>
        <v>0.22451057881534223</v>
      </c>
      <c r="G23" s="2">
        <f t="shared" si="2"/>
        <v>68.577713380806244</v>
      </c>
      <c r="H23" s="7">
        <v>0.34200000000000003</v>
      </c>
      <c r="I23" s="7">
        <v>0.23</v>
      </c>
      <c r="J23" s="6" t="str">
        <f t="shared" si="3"/>
        <v>0,342+0,23i</v>
      </c>
      <c r="K23" s="6">
        <f t="shared" si="4"/>
        <v>0.41214560533869588</v>
      </c>
      <c r="L23" s="6">
        <f t="shared" si="5"/>
        <v>33.921408581781918</v>
      </c>
    </row>
  </sheetData>
  <sortState xmlns:xlrd2="http://schemas.microsoft.com/office/spreadsheetml/2017/richdata2" ref="A3:L23">
    <sortCondition ref="A2:A23"/>
  </sortState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line_impedance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YOS ADIKA NOVANDRA MARBUN</cp:lastModifiedBy>
  <dcterms:created xsi:type="dcterms:W3CDTF">2021-09-18T14:11:00Z</dcterms:created>
  <dcterms:modified xsi:type="dcterms:W3CDTF">2026-05-16T17:35:56Z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44DEF8B45B1E4EAAB545150508B69CEC</vt:lpwstr>
  </property>
  <property fmtid="{D5CDD505-2E9C-101B-9397-08002B2CF9AE}" pid="3" name="KSOProductBuildVer">
    <vt:lpwstr>1033-11.2.0.11225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2026-05-16T10:18:16Z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0e48f9d7-2701-4b80-bb71-211bde24768a</vt:lpwstr>
  </property>
  <property fmtid="{D5CDD505-2E9C-101B-9397-08002B2CF9AE}" pid="9" name="MSIP_Label_defa4170-0d19-0005-0004-bc88714345d2_ActionId">
    <vt:lpwstr>575d6358-277d-4539-b059-503516d0d7e7</vt:lpwstr>
  </property>
  <property fmtid="{D5CDD505-2E9C-101B-9397-08002B2CF9AE}" pid="10" name="MSIP_Label_defa4170-0d19-0005-0004-bc88714345d2_ContentBits">
    <vt:lpwstr>0</vt:lpwstr>
  </property>
</Properties>
</file>